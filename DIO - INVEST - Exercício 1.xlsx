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31C01F88-3F4E-4A9C-84EA-80D9B1E59F82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<sst xmlns="http://schemas.openxmlformats.org/spreadsheetml/2006/main" count="71" uniqueCount="34">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</sst>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6" fontId="10" fillId="4" borderId="6" xfId="0" applyNumberFormat="1" applyFont="1" applyFill="1" applyBorder="1" applyAlignment="1">
      <alignment horizontal="center"/>
    </xf>
    <xf numFmtId="166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6" fontId="10" fillId="4" borderId="9" xfId="0" applyNumberFormat="1" applyFont="1" applyFill="1" applyBorder="1" applyAlignment="1">
      <alignment horizontal="center"/>
    </xf>
    <xf numFmtId="166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6" fontId="10" fillId="4" borderId="12" xfId="0" applyNumberFormat="1" applyFont="1" applyFill="1" applyBorder="1" applyAlignment="1">
      <alignment horizontal="center"/>
    </xf>
    <xf numFmtId="166" fontId="10" fillId="4" borderId="13" xfId="0" applyNumberFormat="1" applyFont="1" applyFill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164" fontId="11" fillId="4" borderId="19" xfId="0" applyNumberFormat="1" applyFont="1" applyFill="1" applyBorder="1" applyAlignment="1">
      <alignment horizontal="center"/>
    </xf>
    <xf numFmtId="164" fontId="11" fillId="4" borderId="22" xfId="0" applyNumberFormat="1" applyFont="1" applyFill="1" applyBorder="1" applyAlignment="1">
      <alignment horizontal="center"/>
    </xf>
    <xf numFmtId="166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6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6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6" fontId="3" fillId="7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0B-4B5C-ABCC-6653E2F5D9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0B-4B5C-ABCC-6653E2F5D9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0B-4B5C-ABCC-6653E2F5D9A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0B-4B5C-ABCC-6653E2F5D9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0B-4B5C-ABCC-6653E2F5D9A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0B-4B5C-ABCC-6653E2F5D9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D13" sqref="D13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3" t="s">
        <v>1</v>
      </c>
      <c r="C12" s="44"/>
      <c r="D12" s="23">
        <v>5000</v>
      </c>
    </row>
    <row r="13" spans="2:4" ht="17.45">
      <c r="B13" s="45" t="s">
        <v>2</v>
      </c>
      <c r="C13" s="46"/>
      <c r="D13" s="24">
        <v>6.0000000000000001E-3</v>
      </c>
    </row>
    <row r="14" spans="2:4" ht="18" thickBot="1">
      <c r="B14" s="47" t="s">
        <v>3</v>
      </c>
      <c r="C14" s="48"/>
      <c r="D14" s="25">
        <f>D12*30%</f>
        <v>1500</v>
      </c>
    </row>
    <row r="15" spans="2:4" ht="15" thickBot="1"/>
    <row r="16" spans="2:4" ht="28.5" customHeight="1">
      <c r="B16" s="51" t="s">
        <v>4</v>
      </c>
      <c r="C16" s="52"/>
      <c r="D16" s="55"/>
    </row>
    <row r="17" spans="1:6" ht="17.45">
      <c r="B17" s="43" t="s">
        <v>5</v>
      </c>
      <c r="C17" s="44"/>
      <c r="D17" s="18">
        <v>200</v>
      </c>
    </row>
    <row r="18" spans="1:6" ht="17.45">
      <c r="B18" s="45" t="s">
        <v>6</v>
      </c>
      <c r="C18" s="46"/>
      <c r="D18" s="19">
        <v>5</v>
      </c>
    </row>
    <row r="19" spans="1:6" ht="17.45">
      <c r="B19" s="45" t="s">
        <v>7</v>
      </c>
      <c r="C19" s="46"/>
      <c r="D19" s="20">
        <v>1.0789999999999999E-2</v>
      </c>
    </row>
    <row r="20" spans="1:6" ht="17.45">
      <c r="B20" s="49" t="s">
        <v>8</v>
      </c>
      <c r="C20" s="50"/>
      <c r="D20" s="21">
        <f>FV(taxa_mensal,qtd_anos*12,aporte*-1)</f>
        <v>16755.382799697527</v>
      </c>
    </row>
    <row r="21" spans="1:6" ht="18" thickBot="1">
      <c r="B21" s="53" t="s">
        <v>9</v>
      </c>
      <c r="C21" s="54"/>
      <c r="D21" s="22">
        <f>patrimonio*rendimento_carteira</f>
        <v>100.53229679818516</v>
      </c>
      <c r="F21" s="3"/>
    </row>
    <row r="22" spans="1:6" ht="15" thickBot="1"/>
    <row r="23" spans="1:6" ht="29.1">
      <c r="B23" s="51" t="s">
        <v>10</v>
      </c>
      <c r="C23" s="52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17</v>
      </c>
      <c r="C32" s="27" t="s">
        <v>18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20</v>
      </c>
      <c r="C35" s="30" t="s">
        <v>21</v>
      </c>
      <c r="D35" s="30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24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25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26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27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28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1" t="s">
        <v>29</v>
      </c>
      <c r="B2" s="41" t="s">
        <v>17</v>
      </c>
      <c r="C2" s="42" t="s">
        <v>20</v>
      </c>
      <c r="D2" s="42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54D0D6DD-E6DB-45C8-8F90-E314C090C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2026-09-25T20:36:16Z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